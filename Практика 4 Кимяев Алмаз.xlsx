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5770" windowHeight="17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F7" i="1"/>
  <c r="F3" i="1"/>
  <c r="F4" i="1"/>
  <c r="F5" i="1"/>
  <c r="F6" i="1"/>
  <c r="F2" i="1"/>
  <c r="E7" i="1"/>
  <c r="E3" i="1"/>
  <c r="E4" i="1"/>
  <c r="E5" i="1"/>
  <c r="E6" i="1"/>
  <c r="E2" i="1"/>
  <c r="D3" i="1"/>
  <c r="D4" i="1"/>
  <c r="D5" i="1"/>
  <c r="D6" i="1"/>
  <c r="D2" i="1"/>
  <c r="B7" i="1"/>
  <c r="D7" i="1" l="1"/>
</calcChain>
</file>

<file path=xl/sharedStrings.xml><?xml version="1.0" encoding="utf-8"?>
<sst xmlns="http://schemas.openxmlformats.org/spreadsheetml/2006/main" count="17" uniqueCount="17">
  <si>
    <t>ФИО сотрудника</t>
  </si>
  <si>
    <t>ИТОГ:</t>
  </si>
  <si>
    <t>Оклад (руб.)</t>
  </si>
  <si>
    <t>Премия (%)</t>
  </si>
  <si>
    <t>Премия (руб.)</t>
  </si>
  <si>
    <t>НДФЛ (13%)</t>
  </si>
  <si>
    <t>Ивонов ИИ</t>
  </si>
  <si>
    <t>Петров ПП</t>
  </si>
  <si>
    <t>Сидоров СС</t>
  </si>
  <si>
    <t>Кузнецова КК</t>
  </si>
  <si>
    <t>Смирнов СС</t>
  </si>
  <si>
    <t>Ставка НДФЛ</t>
  </si>
  <si>
    <t>К выдаче</t>
  </si>
  <si>
    <t>№ п/п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</si>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</sst>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7" sqref="H7"/>
    </sheetView>
  </sheetViews>
  <sheetFormatPr defaultRowHeight="15" x14ac:dyDescent="0.25"/>
  <cols>
    <col min="1" max="1" width="18.42578125" customWidth="1"/>
    <col min="2" max="2" width="18.28515625" customWidth="1"/>
    <col min="3" max="3" width="11" customWidth="1"/>
    <col min="4" max="4" width="14.28515625" customWidth="1"/>
    <col min="5" max="5" width="12.85546875" customWidth="1"/>
    <col min="6" max="6" width="11.140625" customWidth="1"/>
    <col min="8" max="8" width="15.28515625" customWidth="1"/>
  </cols>
  <sheetData>
    <row r="1" spans="1:8" x14ac:dyDescent="0.25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12</v>
      </c>
      <c r="G1" s="5" t="s">
        <v>13</v>
      </c>
      <c r="H1" s="5" t="s">
        <v>11</v>
      </c>
    </row>
    <row r="2" spans="1:8" x14ac:dyDescent="0.25">
      <c r="A2" t="s">
        <v>6</v>
      </c>
      <c r="B2" s="3">
        <v>50000</v>
      </c>
      <c r="C2" s="2">
        <v>20</v>
      </c>
      <c r="D2" s="4">
        <f xml:space="preserve"> B2*C2/100</f>
        <v>10000</v>
      </c>
      <c r="E2">
        <f>(B2+D2)*$H$2</f>
        <v>7800</v>
      </c>
      <c r="F2" s="3">
        <f>B2+D2-E2</f>
        <v>52200</v>
      </c>
      <c r="G2" s="2">
        <v>1</v>
      </c>
      <c r="H2" s="6">
        <v>0.13</v>
      </c>
    </row>
    <row r="3" spans="1:8" x14ac:dyDescent="0.25">
      <c r="A3" t="s">
        <v>7</v>
      </c>
      <c r="B3" s="3">
        <v>45000</v>
      </c>
      <c r="C3" s="2">
        <v>15</v>
      </c>
      <c r="D3" s="4">
        <f t="shared" ref="D3:D6" si="0" xml:space="preserve"> B3*C3/100</f>
        <v>6750</v>
      </c>
      <c r="E3">
        <f t="shared" ref="E3:E6" si="1">(B3+D3)*$H$2</f>
        <v>6727.5</v>
      </c>
      <c r="F3" s="3">
        <f t="shared" ref="F3:F6" si="2">B3+D3-E3</f>
        <v>45022.5</v>
      </c>
      <c r="G3" s="2">
        <v>2</v>
      </c>
    </row>
    <row r="4" spans="1:8" x14ac:dyDescent="0.25">
      <c r="A4" t="s">
        <v>8</v>
      </c>
      <c r="B4" s="3">
        <v>62000</v>
      </c>
      <c r="C4" s="2">
        <v>25</v>
      </c>
      <c r="D4" s="4">
        <f t="shared" si="0"/>
        <v>15500</v>
      </c>
      <c r="E4">
        <f t="shared" si="1"/>
        <v>10075</v>
      </c>
      <c r="F4" s="3">
        <f t="shared" si="2"/>
        <v>67425</v>
      </c>
      <c r="G4" s="2">
        <v>3</v>
      </c>
    </row>
    <row r="5" spans="1:8" x14ac:dyDescent="0.25">
      <c r="A5" t="s">
        <v>9</v>
      </c>
      <c r="B5" s="3">
        <v>55000</v>
      </c>
      <c r="C5" s="2">
        <v>10</v>
      </c>
      <c r="D5" s="4">
        <f t="shared" si="0"/>
        <v>5500</v>
      </c>
      <c r="E5">
        <f t="shared" si="1"/>
        <v>7865</v>
      </c>
      <c r="F5" s="3">
        <f t="shared" si="2"/>
        <v>52635</v>
      </c>
      <c r="G5" s="2">
        <v>4</v>
      </c>
    </row>
    <row r="6" spans="1:8" x14ac:dyDescent="0.25">
      <c r="A6" t="s">
        <v>10</v>
      </c>
      <c r="B6" s="3">
        <v>40000</v>
      </c>
      <c r="C6" s="2">
        <v>30</v>
      </c>
      <c r="D6" s="4">
        <f t="shared" si="0"/>
        <v>12000</v>
      </c>
      <c r="E6">
        <f t="shared" si="1"/>
        <v>6760</v>
      </c>
      <c r="F6" s="3">
        <f t="shared" si="2"/>
        <v>45240</v>
      </c>
      <c r="G6" s="2">
        <v>5</v>
      </c>
    </row>
    <row r="7" spans="1:8" x14ac:dyDescent="0.25">
      <c r="A7" s="1" t="s">
        <v>1</v>
      </c>
      <c r="B7" s="3">
        <f>SUM(B2:B6)</f>
        <v>252000</v>
      </c>
      <c r="D7" s="4">
        <f>SUM(D2:D6)</f>
        <v>49750</v>
      </c>
      <c r="E7">
        <f>SUM(E2:E6)</f>
        <v>39227.5</v>
      </c>
      <c r="F7" s="3">
        <f>SUM(F2:F6)</f>
        <v>262522.5</v>
      </c>
    </row>
    <row r="9" spans="1:8" x14ac:dyDescent="0.25">
      <c r="A9" s="1" t="s">
        <v>14</v>
      </c>
      <c r="B9" s="3">
        <f>AVERAGE(F2:F6)</f>
        <v>52504.5</v>
      </c>
    </row>
    <row r="10" spans="1:8" x14ac:dyDescent="0.25">
      <c r="A10" s="1" t="s">
        <v>15</v>
      </c>
      <c r="B10" s="3">
        <f>MAX(F2:F6)</f>
        <v>67425</v>
      </c>
    </row>
    <row r="11" spans="1:8" x14ac:dyDescent="0.25">
      <c r="A11" s="1" t="s">
        <v>16</v>
      </c>
      <c r="B11" s="3">
        <f>MIN(F2:F6)</f>
        <v>45022.5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2026-10-06T08:35:58Z</dcterms:created>
  <dcterms:modified xsi:type="dcterms:W3CDTF">2026-10-06T09:21:14Z</dcterms:modified>
</cp:coreProperties>
</file>